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ac4fdac2d8e431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敏感性汇总" sheetId="1" r:id="Ra544de882cfe46d7"/>
    <x:sheet xmlns:r="http://schemas.openxmlformats.org/officeDocument/2006/relationships" name="复算校验" sheetId="2" r:id="R3d05d560888f4f9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;[Red]-#,##0.00"/>
    <x:numFmt numFmtId="201" formatCode="#,##0.0000;[Red]-#,##0.0000"/>
    <x:numFmt numFmtId="202" formatCode="0.00"/>
  </x:numFmts>
  <x:fonts count="7">
    <x:font>
      <x:sz val="11"/>
      <x:name val="Carlito"/>
    </x:font>
    <x:font>
      <x:b/>
      <x:sz val="14"/>
      <x:color rgb="FF17365D"/>
      <x:name val="Arial"/>
    </x:font>
    <x:font>
      <x:i/>
      <x:sz val="10"/>
      <x:color rgb="FF595959"/>
      <x:name val="Arial"/>
    </x:font>
    <x:font>
      <x:b/>
      <x:sz val="10"/>
      <x:color rgb="FFFFFFFF"/>
      <x:name val="Arial"/>
    </x:font>
    <x:font>
      <x:sz val="10"/>
      <x:color rgb="FF222222"/>
      <x:name val="Arial"/>
    </x:font>
    <x:font>
      <x:b/>
      <x:sz val="10"/>
      <x:color rgb="FF17365D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4">
    <x:border/>
    <x:border>
      <x:left style="thin">
        <x:color rgb="FF1F4E78"/>
      </x:left>
      <x:top style="thin">
        <x:color rgb="FF1F4E78"/>
      </x:top>
      <x:bottom style="thin">
        <x:color rgb="FF1F4E78"/>
      </x:bottom>
    </x:border>
    <x:border>
      <x:top style="thin">
        <x:color rgb="FF1F4E78"/>
      </x:top>
      <x:bottom style="thin">
        <x:color rgb="FF1F4E78"/>
      </x:bottom>
    </x:border>
    <x:border>
      <x:right style="thin">
        <x:color rgb="FF1F4E78"/>
      </x:right>
      <x:top style="thin">
        <x:color rgb="FF1F4E78"/>
      </x:top>
      <x:bottom style="thin">
        <x:color rgb="FF1F4E78"/>
      </x:bottom>
    </x:border>
  </x:borders>
  <x:cellStyleXfs count="1">
    <x:xf numFmtId="0" fontId="0" fillId="0" borderId="0"/>
  </x:cellStyleXfs>
  <x:cellXfs count="4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horizontal="left"/>
    </x:xf>
    <x:xf numFmtId="0" fontId="1" fillId="0" borderId="0" xfId="0" applyNumberFormat="1" applyFont="1" applyFill="1" applyBorder="1" applyAlignment="1">
      <x:alignment horizontal="left" vertical="center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left"/>
    </x:xf>
    <x:xf numFmtId="0" fontId="2" fillId="0" borderId="0" xfId="0" applyNumberFormat="1" applyFont="1" applyFill="1" applyBorder="1" applyAlignment="1">
      <x:alignment horizontal="left" vertical="center"/>
    </x:xf>
    <x:xf numFmtId="0" fontId="0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1" xfId="0" applyNumberFormat="1" applyFont="1" applyFill="1" applyBorder="1"/>
    <x:xf numFmtId="0" fontId="3" fillId="2" borderId="2" xfId="0" applyNumberFormat="1" applyFont="1" applyFill="1" applyBorder="1"/>
    <x:xf numFmtId="0" fontId="3" fillId="2" borderId="3" xfId="0" applyNumberFormat="1" applyFont="1" applyFill="1" applyBorder="1"/>
    <x:xf numFmtId="0" fontId="3" fillId="2" borderId="1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wrapText="1"/>
    </x:xf>
    <x:xf numFmtId="0" fontId="3" fillId="2" borderId="1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1" xfId="0" applyNumberFormat="1" applyFont="1" applyFill="1" applyBorder="1" applyAlignment="1">
      <x:alignment horizontal="center" vertic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right" vertical="center"/>
    </x:xf>
    <x:xf numFmtId="200" fontId="4" fillId="0" borderId="0" xfId="0" applyNumberFormat="1" applyFont="1" applyFill="1" applyBorder="1" applyAlignment="1">
      <x:alignment horizontal="right" vertical="center"/>
    </x:xf>
    <x:xf numFmtId="201" fontId="4" fillId="0" borderId="0" xfId="0" applyNumberFormat="1" applyFont="1" applyFill="1" applyBorder="1" applyAlignment="1">
      <x:alignment horizontal="right" vertical="center"/>
    </x:xf>
    <x:xf numFmtId="202" fontId="4" fillId="0" borderId="0" xfId="0" applyNumberFormat="1" applyFont="1" applyFill="1" applyBorder="1" applyAlignment="1">
      <x:alignment horizontal="center" vertical="center"/>
    </x:xf>
    <x:xf numFmtId="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horizontal="left" wrapText="1"/>
    </x:xf>
    <x:xf numFmtId="0" fontId="2" fillId="0" borderId="0" xfId="0" applyNumberFormat="1" applyFont="1" applyFill="1" applyBorder="1" applyAlignment="1">
      <x:alignment horizontal="left" vertical="center" wrapText="1"/>
    </x:xf>
    <x:xf numFmtId="0" fontId="5" fillId="0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3" fillId="2" borderId="1" xfId="0" applyNumberFormat="1" applyFont="1" applyFill="1" applyBorder="1" applyAlignment="1">
      <x:alignment horizontal="center"/>
    </x:xf>
    <x:xf numFmtId="0" fontId="3" fillId="2" borderId="2" xfId="0" applyNumberFormat="1" applyFont="1" applyFill="1" applyBorder="1" applyAlignment="1">
      <x:alignment horizontal="center"/>
    </x:xf>
    <x:xf numFmtId="0" fontId="3" fillId="2" borderId="3" xfId="0" applyNumberFormat="1" applyFont="1" applyFill="1" applyBorder="1" applyAlignment="1">
      <x:alignment horizontal="center"/>
    </x:xf>
    <x:xf numFmtId="0" fontId="3" fillId="2" borderId="1" xfId="0" applyNumberFormat="1" applyFont="1" applyFill="1" applyBorder="1" applyAlignment="1">
      <x:alignment horizontal="center" vertical="center"/>
    </x:xf>
    <x:xf numFmtId="0" fontId="3" fillId="2" borderId="2" xfId="0" applyNumberFormat="1" applyFont="1" applyFill="1" applyBorder="1" applyAlignment="1">
      <x:alignment horizontal="center" vertical="center"/>
    </x:xf>
    <x:xf numFmtId="0" fontId="3" fillId="2" borderId="3" xfId="0" applyNumberFormat="1" applyFont="1" applyFill="1" applyBorder="1" applyAlignment="1">
      <x:alignment horizontal="center" vertical="center"/>
    </x:xf>
    <x:xf numFmtId="0" fontId="4" fillId="0" borderId="0" xfId="0" applyNumberFormat="1" applyFont="1" applyFill="1" applyBorder="1" applyAlignment="1">
      <x:alignment horizontal="center"/>
    </x:xf>
  </x:cellXfs>
  <x:cellStyles count="1">
    <x:cellStyle name="Normal" xfId="0"/>
  </x:cellStyles>
  <x:dxfs count="1">
    <x:dxf>
      <x:font>
        <x:b/>
        <x:color rgb="FF1F1F1F"/>
      </x:font>
      <x:fill>
        <x:patternFill patternType="solid">
          <x:bgColor rgb="FFE2F0D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8306609ef454228" /><Relationship Type="http://schemas.openxmlformats.org/officeDocument/2006/relationships/theme" Target="/xl/theme/theme1.xml" Id="Rc6f83e2adf734dd5" /><Relationship Type="http://schemas.openxmlformats.org/officeDocument/2006/relationships/sharedStrings" Target="/xl/sharedStrings.xml" Id="R2e0496afabe4479e" /><Relationship Type="http://schemas.openxmlformats.org/officeDocument/2006/relationships/worksheet" Target="/xl/worksheets/sheet1.xml" Id="Ra544de882cfe46d7" /><Relationship Type="http://schemas.openxmlformats.org/officeDocument/2006/relationships/worksheet" Target="/xl/worksheets/sheet2.xml" Id="R3d05d560888f4f9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defaultRowHeight="15"/>
  <x:cols>
    <x:col min="1" max="1" width="9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6" hidden="0" customWidth="1"/>
    <x:col min="7" max="7" width="16" hidden="0" customWidth="1"/>
    <x:col min="8" max="8" width="17" hidden="0" customWidth="1"/>
    <x:col min="9" max="9" width="17" hidden="0" customWidth="1"/>
    <x:col min="10" max="10" width="12" hidden="0" customWidth="1"/>
  </x:cols>
  <x:sheetData>
    <x:row r="1" ht="26" customHeight="1">
      <x:c r="A1" s="3" t="str">
        <x:v>Q3 负载反馈系数 α 五点敏感性汇总</x:v>
      </x:c>
      <x:c r="B1" s="32"/>
      <x:c r="C1" s="32"/>
      <x:c r="D1" s="32"/>
      <x:c r="E1" s="32"/>
      <x:c r="F1" s="32"/>
      <x:c r="G1" s="32"/>
      <x:c r="H1" s="32"/>
      <x:c r="I1" s="32"/>
      <x:c r="J1" s="32"/>
    </x:row>
    <x:row r="2" ht="24" customHeight="1">
      <x:c r="A2" s="6" t="str">
        <x:v>范围：2025-02-01 至 2025-12-31；除 α 外，均沿用冻结 Q3 的 Q80 修正、0/6/12/18 更新、储能与 A08 主结算口径。</x:v>
      </x:c>
      <x:c r="B2" s="32"/>
      <x:c r="C2" s="32"/>
      <x:c r="D2" s="32"/>
      <x:c r="E2" s="32"/>
      <x:c r="F2" s="32"/>
      <x:c r="G2" s="32"/>
      <x:c r="H2" s="32"/>
      <x:c r="I2" s="32"/>
      <x:c r="J2" s="32"/>
    </x:row>
    <x:row r="3">
      <x:c r="A3" s="32"/>
      <x:c r="B3" s="32"/>
      <x:c r="C3" s="32"/>
      <x:c r="D3" s="32"/>
      <x:c r="E3" s="32"/>
      <x:c r="F3" s="32"/>
      <x:c r="G3" s="32"/>
      <x:c r="H3" s="32"/>
      <x:c r="I3" s="32"/>
      <x:c r="J3" s="32"/>
    </x:row>
    <x:row r="4" ht="32" customHeight="1">
      <x:c r="A4" s="18" t="str">
        <x:v>α</x:v>
      </x:c>
      <x:c r="B4" s="19" t="str">
        <x:v>正常购电费用
(元)</x:v>
      </x:c>
      <x:c r="C4" s="19" t="str">
        <x:v>购电调整费用
(元)</x:v>
      </x:c>
      <x:c r="D4" s="19" t="str">
        <x:v>紧急购电费用
(元)</x:v>
      </x:c>
      <x:c r="E4" s="19" t="str">
        <x:v>总购电费用
(元)</x:v>
      </x:c>
      <x:c r="F4" s="19" t="str">
        <x:v>紧急购电量
(kWh)</x:v>
      </x:c>
      <x:c r="G4" s="19" t="str">
        <x:v>期末 SOC
(kWh)</x:v>
      </x:c>
      <x:c r="H4" s="19" t="str">
        <x:v>分项复算总费
(元)</x:v>
      </x:c>
      <x:c r="I4" s="19" t="str">
        <x:v>复算差
(元)</x:v>
      </x:c>
      <x:c r="J4" s="20" t="str">
        <x:v>校验状态</x:v>
      </x:c>
    </x:row>
    <x:row r="5">
      <x:c r="A5" s="27" t="n">
        <x:v>0</x:v>
      </x:c>
      <x:c r="B5" s="25" t="n">
        <x:v>13475035.441214519</x:v>
      </x:c>
      <x:c r="C5" s="25" t="n">
        <x:v>-8932.302573623601</x:v>
      </x:c>
      <x:c r="D5" s="25" t="n">
        <x:v>254050.34011125652</x:v>
      </x:c>
      <x:c r="E5" s="25" t="n">
        <x:v>13720153.478752151</x:v>
      </x:c>
      <x:c r="F5" s="26" t="n">
        <x:v>45747.04205267706</x:v>
      </x:c>
      <x:c r="G5" s="26" t="n">
        <x:v>8687.221395111112</x:v>
      </x:c>
      <x:c r="H5" s="26" t="n">
        <x:f>B5+C5+D5</x:f>
        <x:v>13720153.478752151</x:v>
      </x:c>
      <x:c r="I5" s="26" t="n">
        <x:f>H5-E5</x:f>
        <x:v>0</x:v>
      </x:c>
      <x:c r="J5" s="23" t="str">
        <x:v>PASS</x:v>
      </x:c>
    </x:row>
    <x:row r="6">
      <x:c r="A6" s="27" t="n">
        <x:v>0.25</x:v>
      </x:c>
      <x:c r="B6" s="25" t="n">
        <x:v>13478991.77708123</x:v>
      </x:c>
      <x:c r="C6" s="25" t="n">
        <x:v>-26166.34176270006</x:v>
      </x:c>
      <x:c r="D6" s="25" t="n">
        <x:v>185851.46195696105</x:v>
      </x:c>
      <x:c r="E6" s="25" t="n">
        <x:v>13638676.89727549</x:v>
      </x:c>
      <x:c r="F6" s="26" t="n">
        <x:v>33319.687743644274</x:v>
      </x:c>
      <x:c r="G6" s="26" t="n">
        <x:v>8597.163909610212</x:v>
      </x:c>
      <x:c r="H6" s="26" t="n">
        <x:f>B6+C6+D6</x:f>
        <x:v>13638676.897275493</x:v>
      </x:c>
      <x:c r="I6" s="26" t="n">
        <x:f>H6-E6</x:f>
        <x:v>1.862645149230957e-9</x:v>
      </x:c>
      <x:c r="J6" s="23" t="str">
        <x:v>PASS</x:v>
      </x:c>
    </x:row>
    <x:row r="7">
      <x:c r="A7" s="27" t="n">
        <x:v>0.5</x:v>
      </x:c>
      <x:c r="B7" s="25" t="n">
        <x:v>13482376.955445178</x:v>
      </x:c>
      <x:c r="C7" s="25" t="n">
        <x:v>-13982.055085413915</x:v>
      </x:c>
      <x:c r="D7" s="25" t="n">
        <x:v>131583.9912007882</x:v>
      </x:c>
      <x:c r="E7" s="25" t="n">
        <x:v>13599978.89156055</x:v>
      </x:c>
      <x:c r="F7" s="26" t="n">
        <x:v>23339.680775940156</x:v>
      </x:c>
      <x:c r="G7" s="26" t="n">
        <x:v>8531.119211052304</x:v>
      </x:c>
      <x:c r="H7" s="26" t="n">
        <x:f>B7+C7+D7</x:f>
        <x:v>13599978.891560553</x:v>
      </x:c>
      <x:c r="I7" s="26" t="n">
        <x:f>H7-E7</x:f>
        <x:v>1.862645149230957e-9</x:v>
      </x:c>
      <x:c r="J7" s="23" t="str">
        <x:v>PASS</x:v>
      </x:c>
    </x:row>
    <x:row r="8">
      <x:c r="A8" s="27" t="n">
        <x:v>0.75</x:v>
      </x:c>
      <x:c r="B8" s="25" t="n">
        <x:v>13484060.950558985</x:v>
      </x:c>
      <x:c r="C8" s="25" t="n">
        <x:v>23407.394968930166</x:v>
      </x:c>
      <x:c r="D8" s="25" t="n">
        <x:v>105168.9377947619</x:v>
      </x:c>
      <x:c r="E8" s="25" t="n">
        <x:v>13612637.283322677</x:v>
      </x:c>
      <x:c r="F8" s="26" t="n">
        <x:v>18527.17985498463</x:v>
      </x:c>
      <x:c r="G8" s="26" t="n">
        <x:v>8519.46574338853</x:v>
      </x:c>
      <x:c r="H8" s="26" t="n">
        <x:f>B8+C8+D8</x:f>
        <x:v>13612637.283322677</x:v>
      </x:c>
      <x:c r="I8" s="26" t="n">
        <x:f>H8-E8</x:f>
        <x:v>0</x:v>
      </x:c>
      <x:c r="J8" s="23" t="str">
        <x:v>PASS</x:v>
      </x:c>
    </x:row>
    <x:row r="9">
      <x:c r="A9" s="27" t="n">
        <x:v>1</x:v>
      </x:c>
      <x:c r="B9" s="25" t="n">
        <x:v>13484954.79429973</x:v>
      </x:c>
      <x:c r="C9" s="25" t="n">
        <x:v>83595.30270126404</x:v>
      </x:c>
      <x:c r="D9" s="25" t="n">
        <x:v>94265.4984731916</x:v>
      </x:c>
      <x:c r="E9" s="25" t="n">
        <x:v>13662815.595474185</x:v>
      </x:c>
      <x:c r="F9" s="26" t="n">
        <x:v>16445.593878673455</x:v>
      </x:c>
      <x:c r="G9" s="26" t="n">
        <x:v>8509.306672053848</x:v>
      </x:c>
      <x:c r="H9" s="26" t="n">
        <x:f>B9+C9+D9</x:f>
        <x:v>13662815.595474185</x:v>
      </x:c>
      <x:c r="I9" s="26" t="n">
        <x:f>H9-E9</x:f>
        <x:v>0</x:v>
      </x:c>
      <x:c r="J9" s="23" t="str">
        <x:v>PASS</x:v>
      </x:c>
    </x:row>
    <x:row r="10">
      <x:c r="A10" s="32"/>
      <x:c r="B10" s="32"/>
      <x:c r="C10" s="32"/>
      <x:c r="D10" s="32"/>
      <x:c r="E10" s="32"/>
      <x:c r="F10" s="32"/>
      <x:c r="G10" s="32"/>
      <x:c r="H10" s="32"/>
      <x:c r="I10" s="32"/>
      <x:c r="J10" s="32"/>
    </x:row>
    <x:row r="11" ht="28" customHeight="1">
      <x:c r="A11" s="30" t="str">
        <x:v>口径说明：正常购电费用为 0 时原计划购电费；购电调整费用为 1.5 倍上调结算费减 0.5 倍下调退款；三项之和为总购电费用。</x:v>
      </x:c>
      <x:c r="B11" s="32"/>
      <x:c r="C11" s="32"/>
      <x:c r="D11" s="32"/>
      <x:c r="E11" s="32"/>
      <x:c r="F11" s="32"/>
      <x:c r="G11" s="32"/>
      <x:c r="H11" s="32"/>
      <x:c r="I11" s="32"/>
      <x:c r="J11" s="32"/>
    </x:row>
    <x:row r="12" ht="20" customHeight="1">
      <x:c r="A12" s="6" t="str">
        <x:v>绿色行表示冻结正式主模型 α=0.50；本工作簿仅用于敏感性展示，不构成主模型晋级或替换。</x:v>
      </x:c>
      <x:c r="B12" s="32"/>
      <x:c r="C12" s="32"/>
      <x:c r="D12" s="32"/>
      <x:c r="E12" s="32"/>
      <x:c r="F12" s="32"/>
      <x:c r="G12" s="32"/>
      <x:c r="H12" s="32"/>
      <x:c r="I12" s="32"/>
      <x:c r="J12" s="32"/>
    </x:row>
  </x:sheetData>
  <x:mergeCells>
    <x:mergeCell ref="A1:J1"/>
    <x:mergeCell ref="A2:J2"/>
    <x:mergeCell ref="A11:J11"/>
    <x:mergeCell ref="A12:J12"/>
  </x:mergeCells>
  <x:conditionalFormatting sqref="A5:J9">
    <x:cfRule type="expression" dxfId="0" priority="1">
      <x:formula>$A5=0.5</x:formula>
    </x:cfRule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10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</x:cols>
  <x:sheetData>
    <x:row r="1" ht="26" customHeight="1">
      <x:c r="A1" s="3" t="str">
        <x:v>Q3 五点敏感性复算与约束校验</x:v>
      </x:c>
      <x:c r="B1" s="32"/>
      <x:c r="C1" s="32"/>
      <x:c r="D1" s="32"/>
      <x:c r="E1" s="32"/>
      <x:c r="F1" s="32"/>
      <x:c r="G1" s="32"/>
      <x:c r="H1" s="32"/>
    </x:row>
    <x:row r="2">
      <x:c r="A2" s="32"/>
      <x:c r="B2" s="32"/>
      <x:c r="C2" s="32"/>
      <x:c r="D2" s="32"/>
      <x:c r="E2" s="32"/>
      <x:c r="F2" s="32"/>
      <x:c r="G2" s="32"/>
      <x:c r="H2" s="32"/>
    </x:row>
    <x:row r="3" ht="24" customHeight="1">
      <x:c r="A3" s="36" t="str">
        <x:v>α</x:v>
      </x:c>
      <x:c r="B3" s="37" t="str">
        <x:v>费用复算</x:v>
      </x:c>
      <x:c r="C3" s="37" t="str">
        <x:v>信息截止</x:v>
      </x:c>
      <x:c r="D3" s="37" t="str">
        <x:v>供需平衡</x:v>
      </x:c>
      <x:c r="E3" s="37" t="str">
        <x:v>SOC 连续</x:v>
      </x:c>
      <x:c r="F3" s="37" t="str">
        <x:v>功率上限</x:v>
      </x:c>
      <x:c r="G3" s="37" t="str">
        <x:v>充放互斥</x:v>
      </x:c>
      <x:c r="H3" s="38" t="str">
        <x:v>总体状态</x:v>
      </x:c>
    </x:row>
    <x:row r="4">
      <x:c r="A4" s="27" t="n">
        <x:v>0</x:v>
      </x:c>
      <x:c r="B4" s="23" t="str">
        <x:v>PASS</x:v>
      </x:c>
      <x:c r="C4" s="23" t="str">
        <x:v>PASS</x:v>
      </x:c>
      <x:c r="D4" s="23" t="str">
        <x:v>PASS</x:v>
      </x:c>
      <x:c r="E4" s="23" t="str">
        <x:v>PASS</x:v>
      </x:c>
      <x:c r="F4" s="23" t="str">
        <x:v>PASS</x:v>
      </x:c>
      <x:c r="G4" s="23" t="str">
        <x:v>PASS</x:v>
      </x:c>
      <x:c r="H4" s="23" t="str">
        <x:v>PASS</x:v>
      </x:c>
    </x:row>
    <x:row r="5">
      <x:c r="A5" s="27" t="n">
        <x:v>0.25</x:v>
      </x:c>
      <x:c r="B5" s="23" t="str">
        <x:v>PASS</x:v>
      </x:c>
      <x:c r="C5" s="23" t="str">
        <x:v>PASS</x:v>
      </x:c>
      <x:c r="D5" s="23" t="str">
        <x:v>PASS</x:v>
      </x:c>
      <x:c r="E5" s="23" t="str">
        <x:v>PASS</x:v>
      </x:c>
      <x:c r="F5" s="23" t="str">
        <x:v>PASS</x:v>
      </x:c>
      <x:c r="G5" s="23" t="str">
        <x:v>PASS</x:v>
      </x:c>
      <x:c r="H5" s="23" t="str">
        <x:v>PASS</x:v>
      </x:c>
    </x:row>
    <x:row r="6">
      <x:c r="A6" s="27" t="n">
        <x:v>0.5</x:v>
      </x:c>
      <x:c r="B6" s="23" t="str">
        <x:v>PASS</x:v>
      </x:c>
      <x:c r="C6" s="23" t="str">
        <x:v>PASS</x:v>
      </x:c>
      <x:c r="D6" s="23" t="str">
        <x:v>PASS</x:v>
      </x:c>
      <x:c r="E6" s="23" t="str">
        <x:v>PASS</x:v>
      </x:c>
      <x:c r="F6" s="23" t="str">
        <x:v>PASS</x:v>
      </x:c>
      <x:c r="G6" s="23" t="str">
        <x:v>PASS</x:v>
      </x:c>
      <x:c r="H6" s="23" t="str">
        <x:v>PASS</x:v>
      </x:c>
    </x:row>
    <x:row r="7">
      <x:c r="A7" s="27" t="n">
        <x:v>0.75</x:v>
      </x:c>
      <x:c r="B7" s="23" t="str">
        <x:v>PASS</x:v>
      </x:c>
      <x:c r="C7" s="23" t="str">
        <x:v>PASS</x:v>
      </x:c>
      <x:c r="D7" s="23" t="str">
        <x:v>PASS</x:v>
      </x:c>
      <x:c r="E7" s="23" t="str">
        <x:v>PASS</x:v>
      </x:c>
      <x:c r="F7" s="23" t="str">
        <x:v>PASS</x:v>
      </x:c>
      <x:c r="G7" s="23" t="str">
        <x:v>PASS</x:v>
      </x:c>
      <x:c r="H7" s="23" t="str">
        <x:v>PASS</x:v>
      </x:c>
    </x:row>
    <x:row r="8">
      <x:c r="A8" s="27" t="n">
        <x:v>1</x:v>
      </x:c>
      <x:c r="B8" s="23" t="str">
        <x:v>PASS</x:v>
      </x:c>
      <x:c r="C8" s="23" t="str">
        <x:v>PASS</x:v>
      </x:c>
      <x:c r="D8" s="23" t="str">
        <x:v>PASS</x:v>
      </x:c>
      <x:c r="E8" s="23" t="str">
        <x:v>PASS</x:v>
      </x:c>
      <x:c r="F8" s="23" t="str">
        <x:v>PASS</x:v>
      </x:c>
      <x:c r="G8" s="23" t="str">
        <x:v>PASS</x:v>
      </x:c>
      <x:c r="H8" s="23" t="str">
        <x:v>PASS</x:v>
      </x:c>
    </x:row>
    <x:row r="9">
      <x:c r="A9" s="32"/>
      <x:c r="B9" s="32"/>
      <x:c r="C9" s="32"/>
      <x:c r="D9" s="32"/>
      <x:c r="E9" s="32"/>
      <x:c r="F9" s="32"/>
      <x:c r="G9" s="32"/>
      <x:c r="H9" s="32"/>
    </x:row>
    <x:row r="10" ht="22" customHeight="1">
      <x:c r="A10" s="6" t="str">
        <x:v>α=0.50 与冻结正式 Q3 逐项复现：PASS；正式 Q3 保护文件哈希未变：PASS。</x:v>
      </x:c>
      <x:c r="B10" s="32"/>
      <x:c r="C10" s="32"/>
      <x:c r="D10" s="32"/>
      <x:c r="E10" s="32"/>
      <x:c r="F10" s="32"/>
      <x:c r="G10" s="32"/>
      <x:c r="H10" s="32"/>
    </x:row>
  </x:sheetData>
  <x:mergeCells>
    <x:mergeCell ref="A1:H1"/>
    <x:mergeCell ref="A10:H10"/>
  </x:mergeCells>
  <x:pageMargins left="0.7" right="0.7" top="0.75" bottom="0.75" header="0.3" footer="0.3"/>
</x:worksheet>
</file>